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采购表" sheetId="1" state="visible" r:id="rId1"/>
    <sheet xmlns:r="http://schemas.openxmlformats.org/officeDocument/2006/relationships" name="说明" sheetId="2" state="visible" r:id="rId2"/>
  </sheets>
  <definedNames>
    <definedName name="_xlnm._FilterDatabase" localSheetId="0" hidden="1">'采购表'!$A$1:$I$64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4">
    <fill>
      <patternFill/>
    </fill>
    <fill>
      <patternFill patternType="gray125"/>
    </fill>
    <fill>
      <patternFill patternType="solid">
        <fgColor rgb="001F4E79"/>
      </patternFill>
    </fill>
    <fill>
      <patternFill patternType="solid">
        <fgColor rgb="00FCE4D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general" vertical="center"/>
    </xf>
    <xf numFmtId="0" fontId="0" fillId="0" borderId="1" applyAlignment="1" pivotButton="0" quotePrefix="0" xfId="0">
      <alignment horizontal="general" vertical="center" wrapText="1"/>
    </xf>
    <xf numFmtId="4" fontId="0" fillId="0" borderId="1" applyAlignment="1" pivotButton="0" quotePrefix="0" xfId="0">
      <alignment horizontal="general" vertical="center"/>
    </xf>
    <xf numFmtId="0" fontId="2" fillId="3" borderId="1" pivotButton="0" quotePrefix="0" xfId="0"/>
    <xf numFmtId="0" fontId="0" fillId="3" borderId="1" pivotButton="0" quotePrefix="0" xfId="0"/>
    <xf numFmtId="4" fontId="2" fillId="3" borderId="1" pivotButton="0" quotePrefix="0" xfId="0"/>
    <xf numFmtId="0" fontId="2"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5"/>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58" customWidth="1" min="3" max="3"/>
    <col width="30" customWidth="1" min="4" max="4"/>
    <col width="11" customWidth="1" min="5" max="5"/>
    <col width="11" customWidth="1" min="6" max="6"/>
    <col width="6" customWidth="1" min="7" max="7"/>
    <col width="12" customWidth="1" min="8" max="8"/>
    <col width="18" customWidth="1" min="9" max="9"/>
  </cols>
  <sheetData>
    <row r="1" ht="22" customHeight="1">
      <c r="A1" s="1" t="inlineStr">
        <is>
          <t>序号</t>
        </is>
      </c>
      <c r="B1" s="1" t="inlineStr">
        <is>
          <t>店铺</t>
        </is>
      </c>
      <c r="C1" s="1" t="inlineStr">
        <is>
          <t>商品名称</t>
        </is>
      </c>
      <c r="D1" s="1" t="inlineStr">
        <is>
          <t>规格/颜色/容量</t>
        </is>
      </c>
      <c r="E1" s="1" t="inlineStr">
        <is>
          <t>单价(¥)</t>
        </is>
      </c>
      <c r="F1" s="1" t="inlineStr">
        <is>
          <t>原价(¥)</t>
        </is>
      </c>
      <c r="G1" s="1" t="inlineStr">
        <is>
          <t>数量</t>
        </is>
      </c>
      <c r="H1" s="1" t="inlineStr">
        <is>
          <t>小计(¥)</t>
        </is>
      </c>
      <c r="I1" s="1" t="inlineStr">
        <is>
          <t>备注</t>
        </is>
      </c>
    </row>
    <row r="2">
      <c r="A2" s="2" t="n">
        <v>1</v>
      </c>
      <c r="B2" s="3" t="inlineStr">
        <is>
          <t>龙戈电子</t>
        </is>
      </c>
      <c r="C2" s="4" t="inlineStr">
        <is>
          <t>线性霍尔传感器模块高灵敏8.3mV/G模拟输出检测磁场强度感应开关</t>
        </is>
      </c>
      <c r="D2" s="4" t="inlineStr"/>
      <c r="E2" s="5" t="n">
        <v>37.3</v>
      </c>
      <c r="F2" s="5" t="n">
        <v>38</v>
      </c>
      <c r="G2" s="2" t="n">
        <v>2</v>
      </c>
      <c r="H2" s="5">
        <f>E2*G2</f>
        <v/>
      </c>
      <c r="I2" s="3" t="inlineStr"/>
    </row>
    <row r="3">
      <c r="A3" s="2" t="n">
        <v>2</v>
      </c>
      <c r="B3" s="3" t="inlineStr">
        <is>
          <t>深算实验室仿真服务器租用</t>
        </is>
      </c>
      <c r="C3" s="4" t="inlineStr">
        <is>
          <t>超聚变DGX Spark GB10迷你工作站Xpark大模型本地部署主机128G/2T</t>
        </is>
      </c>
      <c r="D3" s="4" t="inlineStr">
        <is>
          <t>超聚变Xpark黑金单机（2T现货，送Ai管理平台）</t>
        </is>
      </c>
      <c r="E3" s="5" t="n">
        <v>37190</v>
      </c>
      <c r="F3" s="5" t="n">
        <v>37200</v>
      </c>
      <c r="G3" s="2" t="n">
        <v>1</v>
      </c>
      <c r="H3" s="5">
        <f>E3*G3</f>
        <v/>
      </c>
      <c r="I3" s="3" t="inlineStr"/>
    </row>
    <row r="4">
      <c r="A4" s="2" t="n">
        <v>3</v>
      </c>
      <c r="B4" s="3" t="inlineStr">
        <is>
          <t>acer宏碁存储旗舰店</t>
        </is>
      </c>
      <c r="C4" s="4" t="inlineStr">
        <is>
          <t>【8TB】宏碁掠夺者SSD固态硬盘 M.2(NVMe协议) GM9000 PCIe5.0</t>
        </is>
      </c>
      <c r="D4" s="4" t="inlineStr"/>
      <c r="E4" s="5" t="n">
        <v>8080</v>
      </c>
      <c r="F4" s="3" t="n"/>
      <c r="G4" s="2" t="n">
        <v>1</v>
      </c>
      <c r="H4" s="5">
        <f>E4*G4</f>
        <v/>
      </c>
      <c r="I4" s="3" t="inlineStr">
        <is>
          <t>原价缺失</t>
        </is>
      </c>
    </row>
    <row r="5">
      <c r="A5" s="2" t="n">
        <v>4</v>
      </c>
      <c r="B5" s="3" t="inlineStr">
        <is>
          <t>Lexar雷克沙旗舰店</t>
        </is>
      </c>
      <c r="C5" s="4" t="inlineStr">
        <is>
          <t>Lexar雷克沙M.2固态硬盘4T8T台式机Pcie4.0笔记本索尼PS5固态SSD</t>
        </is>
      </c>
      <c r="D5" s="4" t="inlineStr">
        <is>
          <t>4TB 固态(ARES马甲版 读7400MB/S 写6500MB/S)</t>
        </is>
      </c>
      <c r="E5" s="5" t="n">
        <v>3898.3</v>
      </c>
      <c r="F5" s="5" t="n">
        <v>6999</v>
      </c>
      <c r="G5" s="2" t="n">
        <v>1</v>
      </c>
      <c r="H5" s="5">
        <f>E5*G5</f>
        <v/>
      </c>
      <c r="I5" s="3" t="inlineStr"/>
    </row>
    <row r="6">
      <c r="A6" s="2" t="n">
        <v>5</v>
      </c>
      <c r="B6" s="3" t="inlineStr">
        <is>
          <t>touglesy旗舰店</t>
        </is>
      </c>
      <c r="C6" s="4" t="inlineStr">
        <is>
          <t>PCA9548 TCA9548A 1-to-8 I2C 8路IIC 多路扩展板模块 开发板</t>
        </is>
      </c>
      <c r="D6" s="4" t="inlineStr">
        <is>
          <t>TCA9548模块</t>
        </is>
      </c>
      <c r="E6" s="5" t="n">
        <v>5.51</v>
      </c>
      <c r="F6" s="5" t="n">
        <v>7.3</v>
      </c>
      <c r="G6" s="2" t="n">
        <v>1</v>
      </c>
      <c r="H6" s="5">
        <f>E6*G6</f>
        <v/>
      </c>
      <c r="I6" s="3" t="inlineStr"/>
    </row>
    <row r="7">
      <c r="A7" s="2" t="n">
        <v>6</v>
      </c>
      <c r="B7" s="3" t="inlineStr"/>
      <c r="C7" s="4" t="inlineStr">
        <is>
          <t>SHT20SHT30/31/35/41温湿度传感器模块I2C通讯数字型宽电压传感器</t>
        </is>
      </c>
      <c r="D7" s="4" t="inlineStr">
        <is>
          <t>SHT41温湿度传感器模块</t>
        </is>
      </c>
      <c r="E7" s="5" t="n">
        <v>30.11</v>
      </c>
      <c r="F7" s="5" t="n">
        <v>36.31</v>
      </c>
      <c r="G7" s="2" t="n">
        <v>2</v>
      </c>
      <c r="H7" s="5">
        <f>E7*G7</f>
        <v/>
      </c>
      <c r="I7" s="3" t="inlineStr">
        <is>
          <t>店铺未识别</t>
        </is>
      </c>
    </row>
    <row r="8">
      <c r="A8" s="2" t="n">
        <v>7</v>
      </c>
      <c r="B8" s="3" t="inlineStr"/>
      <c r="C8" s="4" t="inlineStr">
        <is>
          <t>ADXL345/335 6100P数字三轴重力倾斜度角度传感器模块GY291倾角61</t>
        </is>
      </c>
      <c r="D8" s="4" t="inlineStr">
        <is>
          <t>新款ADXL345 加速度传感器</t>
        </is>
      </c>
      <c r="E8" s="5" t="n">
        <v>16.41</v>
      </c>
      <c r="F8" s="5" t="n">
        <v>21.31</v>
      </c>
      <c r="G8" s="2" t="n">
        <v>2</v>
      </c>
      <c r="H8" s="5">
        <f>E8*G8</f>
        <v/>
      </c>
      <c r="I8" s="3" t="inlineStr">
        <is>
          <t>店铺未识别</t>
        </is>
      </c>
    </row>
    <row r="9">
      <c r="A9" s="2" t="n">
        <v>8</v>
      </c>
      <c r="B9" s="3" t="inlineStr">
        <is>
          <t>鹿小班旗舰店</t>
        </is>
      </c>
      <c r="C9" s="4" t="inlineStr">
        <is>
          <t>鹿小班INMP441全向麦克风模块MEMS高精度低功耗I2S接口支持ESP32</t>
        </is>
      </c>
      <c r="D9" s="4" t="inlineStr">
        <is>
          <t>【国产】INMP441麦克风模块【焊好排针】</t>
        </is>
      </c>
      <c r="E9" s="5" t="n">
        <v>8.5</v>
      </c>
      <c r="F9" s="5" t="n">
        <v>10.2</v>
      </c>
      <c r="G9" s="2" t="n">
        <v>2</v>
      </c>
      <c r="H9" s="5">
        <f>E9*G9</f>
        <v/>
      </c>
      <c r="I9" s="3" t="inlineStr"/>
    </row>
    <row r="10">
      <c r="A10" s="2" t="n">
        <v>9</v>
      </c>
      <c r="B10" s="3" t="inlineStr">
        <is>
          <t>牛盟记旗舰店</t>
        </is>
      </c>
      <c r="C10" s="4" t="inlineStr">
        <is>
          <t>牛盟记 内蒙古风干牛肉孕妇湿软单独小包装正宗零食官方旗舰店</t>
        </is>
      </c>
      <c r="D10" s="4" t="inlineStr"/>
      <c r="E10" s="5" t="n">
        <v>151</v>
      </c>
      <c r="F10" s="5" t="n">
        <v>188</v>
      </c>
      <c r="G10" s="2" t="n">
        <v>1</v>
      </c>
      <c r="H10" s="5">
        <f>E10*G10</f>
        <v/>
      </c>
      <c r="I10" s="3" t="inlineStr"/>
    </row>
    <row r="11">
      <c r="A11" s="2" t="n">
        <v>10</v>
      </c>
      <c r="B11" s="3" t="inlineStr">
        <is>
          <t>纤冠军旗舰店</t>
        </is>
      </c>
      <c r="C11" s="4" t="inlineStr">
        <is>
          <t>纤冠军奇亚籽羽衣甘蓝果蔬汁饮料自律膳食纤维轻食饮品官方旗舰店</t>
        </is>
      </c>
      <c r="D11" s="4" t="inlineStr"/>
      <c r="E11" s="5" t="n">
        <v>119</v>
      </c>
      <c r="F11" s="5" t="n">
        <v>149.7</v>
      </c>
      <c r="G11" s="2" t="n">
        <v>1</v>
      </c>
      <c r="H11" s="5">
        <f>E11*G11</f>
        <v/>
      </c>
      <c r="I11" s="3" t="inlineStr"/>
    </row>
    <row r="12">
      <c r="A12" s="2" t="n">
        <v>11</v>
      </c>
      <c r="B12" s="3" t="inlineStr">
        <is>
          <t>国货严选旗舰</t>
        </is>
      </c>
      <c r="C12" s="4" t="inlineStr">
        <is>
          <t>轻上纤冠军羽衣甘蓝奇亚籽西芹汁含膳食纤维果蔬汁饮品245ml*10瓶</t>
        </is>
      </c>
      <c r="D12" s="4" t="inlineStr">
        <is>
          <t>『压风式散热』14CM巨型双涡轮√适用于14~21寸设备</t>
        </is>
      </c>
      <c r="E12" s="5" t="n">
        <v>87.66</v>
      </c>
      <c r="F12" s="5" t="n">
        <v>141.7</v>
      </c>
      <c r="G12" s="2" t="n">
        <v>1</v>
      </c>
      <c r="H12" s="5">
        <f>E12*G12</f>
        <v/>
      </c>
      <c r="I12" s="3" t="inlineStr"/>
    </row>
    <row r="13">
      <c r="A13" s="2" t="n">
        <v>12</v>
      </c>
      <c r="B13" s="3" t="inlineStr">
        <is>
          <t>光岳楼旗舰店</t>
        </is>
      </c>
      <c r="C13" s="4" t="inlineStr">
        <is>
          <t>光岳楼即食鲜苁蓉茶九蒸九晒5年足龄苁蓉男熬夜状态精力满满补养</t>
        </is>
      </c>
      <c r="D13" s="4" t="inlineStr">
        <is>
          <t>【精力满满】✅鲜苁蓉300g*2盒</t>
        </is>
      </c>
      <c r="E13" s="5" t="n">
        <v>292</v>
      </c>
      <c r="F13" s="5" t="n">
        <v>488</v>
      </c>
      <c r="G13" s="2" t="n">
        <v>1</v>
      </c>
      <c r="H13" s="5">
        <f>E13*G13</f>
        <v/>
      </c>
      <c r="I13" s="3" t="inlineStr"/>
    </row>
    <row r="14">
      <c r="A14" s="2" t="n">
        <v>13</v>
      </c>
      <c r="B14" s="3" t="inlineStr">
        <is>
          <t>龙巢保健品旗舰店</t>
        </is>
      </c>
      <c r="C14" s="4" t="inlineStr">
        <is>
          <t>【龙巢即食地黄】5年陈化九制正宗焦作怀地黄熬夜状态不足不上火</t>
        </is>
      </c>
      <c r="D14" s="4" t="inlineStr"/>
      <c r="E14" s="5" t="n">
        <v>499</v>
      </c>
      <c r="F14" s="3" t="n"/>
      <c r="G14" s="2" t="n">
        <v>1</v>
      </c>
      <c r="H14" s="5">
        <f>E14*G14</f>
        <v/>
      </c>
      <c r="I14" s="3" t="inlineStr">
        <is>
          <t>原价缺失</t>
        </is>
      </c>
    </row>
    <row r="15">
      <c r="A15" s="2" t="n">
        <v>14</v>
      </c>
      <c r="B15" s="3" t="inlineStr">
        <is>
          <t>天滋成人用品专营店</t>
        </is>
      </c>
      <c r="C15" s="4" t="inlineStr">
        <is>
          <t>液态硅胶便携迷你自慰套男生宿舍隐蔽慢玩小圣杯成人阴茎脱敏训练</t>
        </is>
      </c>
      <c r="D15" s="4" t="inlineStr">
        <is>
          <t>飞机套*3润滑60ml阻复环</t>
        </is>
      </c>
      <c r="E15" s="5" t="n">
        <v>38.61</v>
      </c>
      <c r="F15" s="5" t="n">
        <v>49.01</v>
      </c>
      <c r="G15" s="2" t="n">
        <v>2</v>
      </c>
      <c r="H15" s="5">
        <f>E15*G15</f>
        <v/>
      </c>
      <c r="I15" s="3" t="inlineStr"/>
    </row>
    <row r="16">
      <c r="A16" s="2" t="n">
        <v>15</v>
      </c>
      <c r="B16" s="3" t="inlineStr">
        <is>
          <t>伦泽亲旗舰店</t>
        </is>
      </c>
      <c r="C16" s="4" t="inlineStr">
        <is>
          <t>牛板筋内蒙古大块手撕延边东北特产自拌即食香辣牛板筋独立真空</t>
        </is>
      </c>
      <c r="D16" s="4" t="inlineStr">
        <is>
          <t>【筋道弹牙】延边厚切牛板筋香辣味*30包</t>
        </is>
      </c>
      <c r="E16" s="5" t="n">
        <v>102.91</v>
      </c>
      <c r="F16" s="5" t="n">
        <v>108.91</v>
      </c>
      <c r="G16" s="2" t="n">
        <v>1</v>
      </c>
      <c r="H16" s="5">
        <f>E16*G16</f>
        <v/>
      </c>
      <c r="I16" s="3" t="inlineStr"/>
    </row>
    <row r="17">
      <c r="A17" s="2" t="n">
        <v>16</v>
      </c>
      <c r="B17" s="3" t="inlineStr">
        <is>
          <t>山克旗舰店</t>
        </is>
      </c>
      <c r="C17" s="4" t="inlineStr">
        <is>
          <t>山克ups不间断电源220v 1000VA/600W电脑稳压应急备用电源防停电</t>
        </is>
      </c>
      <c r="D17" s="4" t="inlineStr">
        <is>
          <t>⭐⭐⭐1000VA/600W(人气爆款 店长推荐)</t>
        </is>
      </c>
      <c r="E17" s="5" t="n">
        <v>175.3</v>
      </c>
      <c r="F17" s="5" t="n">
        <v>208</v>
      </c>
      <c r="G17" s="2" t="n">
        <v>1</v>
      </c>
      <c r="H17" s="5">
        <f>E17*G17</f>
        <v/>
      </c>
      <c r="I17" s="3" t="inlineStr"/>
    </row>
    <row r="18">
      <c r="A18" s="2" t="n">
        <v>17</v>
      </c>
      <c r="B18" s="3" t="inlineStr">
        <is>
          <t>鹿为旗舰店</t>
        </is>
      </c>
      <c r="C18" s="4" t="inlineStr">
        <is>
          <t>鹿为电脑显示器增高架 多功能带抽屉收纳USB扩展坞无线充电 笔记本rgb台式屏幕置物桌面改造显示屏支撑架底座</t>
        </is>
      </c>
      <c r="D18" s="4" t="inlineStr"/>
      <c r="E18" s="5" t="n">
        <v>302.62</v>
      </c>
      <c r="F18" s="5" t="n">
        <v>376.32</v>
      </c>
      <c r="G18" s="2" t="n">
        <v>1</v>
      </c>
      <c r="H18" s="5">
        <f>E18*G18</f>
        <v/>
      </c>
      <c r="I18" s="3" t="inlineStr"/>
    </row>
    <row r="19">
      <c r="A19" s="2" t="n">
        <v>18</v>
      </c>
      <c r="B19" s="3" t="inlineStr">
        <is>
          <t>国潮食品专营店</t>
        </is>
      </c>
      <c r="C19" s="4" t="inlineStr">
        <is>
          <t>农科院风干鸡胸肉干条熟食减低解馋脂卡热量耐嚼休闲小吃零食即食</t>
        </is>
      </c>
      <c r="D19" s="4" t="inlineStr"/>
      <c r="E19" s="5" t="n">
        <v>36.1</v>
      </c>
      <c r="F19" s="5" t="n">
        <v>46</v>
      </c>
      <c r="G19" s="2" t="n">
        <v>1</v>
      </c>
      <c r="H19" s="5">
        <f>E19*G19</f>
        <v/>
      </c>
      <c r="I19" s="3" t="inlineStr"/>
    </row>
    <row r="20">
      <c r="A20" s="2" t="n">
        <v>19</v>
      </c>
      <c r="B20" s="3" t="inlineStr">
        <is>
          <t>ibip旗舰店</t>
        </is>
      </c>
      <c r="C20" s="4" t="inlineStr">
        <is>
          <t>【10.5英寸触摸屏】iBook Pocket5 迷你便携掌上二合一平板笔记本电脑英特尔办公触摸屏高性能商务口袋出差</t>
        </is>
      </c>
      <c r="D20" s="4" t="inlineStr"/>
      <c r="E20" s="5" t="n">
        <v>3688</v>
      </c>
      <c r="F20" s="3" t="n"/>
      <c r="G20" s="2" t="n">
        <v>1</v>
      </c>
      <c r="H20" s="5">
        <f>E20*G20</f>
        <v/>
      </c>
      <c r="I20" s="3" t="inlineStr">
        <is>
          <t>原价缺失</t>
        </is>
      </c>
    </row>
    <row r="21">
      <c r="A21" s="2" t="n">
        <v>20</v>
      </c>
      <c r="B21" s="3" t="inlineStr">
        <is>
          <t>ZWIDE数码旗舰店</t>
        </is>
      </c>
      <c r="C21" s="4" t="inlineStr">
        <is>
          <t>Zwide N8迷你笔记本电脑8英寸触膜屏二合一便捷口袋出差商务办公学习</t>
        </is>
      </c>
      <c r="D21" s="4" t="inlineStr">
        <is>
          <t>16GB</t>
        </is>
      </c>
      <c r="E21" s="5" t="n">
        <v>2998.3</v>
      </c>
      <c r="F21" s="5" t="n">
        <v>3769</v>
      </c>
      <c r="G21" s="2" t="n">
        <v>1</v>
      </c>
      <c r="H21" s="5">
        <f>E21*G21</f>
        <v/>
      </c>
      <c r="I21" s="3" t="inlineStr"/>
    </row>
    <row r="22">
      <c r="A22" s="2" t="n">
        <v>21</v>
      </c>
      <c r="B22" s="3" t="inlineStr">
        <is>
          <t>gamepaddigital旗舰店</t>
        </is>
      </c>
      <c r="C22" s="4" t="inlineStr">
        <is>
          <t>【官方直营】GPD Pocket3 迷你便携轻小掌上笔记本电脑二合一平板商务电脑8英寸轻薄指纹KVM触屏出差旅行</t>
        </is>
      </c>
      <c r="D22" s="4" t="inlineStr"/>
      <c r="E22" s="5" t="n">
        <v>5299</v>
      </c>
      <c r="F22" s="3" t="n"/>
      <c r="G22" s="2" t="n">
        <v>1</v>
      </c>
      <c r="H22" s="5">
        <f>E22*G22</f>
        <v/>
      </c>
      <c r="I22" s="3" t="inlineStr">
        <is>
          <t>原价缺失</t>
        </is>
      </c>
    </row>
    <row r="23">
      <c r="A23" s="2" t="n">
        <v>22</v>
      </c>
      <c r="B23" s="3" t="inlineStr"/>
      <c r="C23" s="4" t="inlineStr">
        <is>
          <t>GPD MicroPC2 2026新款7英寸工程师掌机笔记本电脑触摸屏丰富接口运维调试二合一翻转迷你便携式办公炒股UMPC</t>
        </is>
      </c>
      <c r="D23" s="4" t="inlineStr"/>
      <c r="E23" s="5" t="n">
        <v>4599</v>
      </c>
      <c r="F23" s="3" t="n"/>
      <c r="G23" s="2" t="n">
        <v>1</v>
      </c>
      <c r="H23" s="5">
        <f>E23*G23</f>
        <v/>
      </c>
      <c r="I23" s="3" t="inlineStr">
        <is>
          <t>原价缺失；店铺未识别</t>
        </is>
      </c>
    </row>
    <row r="24">
      <c r="A24" s="2" t="n">
        <v>23</v>
      </c>
      <c r="B24" s="3" t="inlineStr"/>
      <c r="C24" s="4" t="inlineStr">
        <is>
          <t>【官方直营】GPD Pocket3 迷你便携轻小掌上笔记本电脑二合一平板商务电脑8英寸轻薄指纹KVM触屏出差旅行</t>
        </is>
      </c>
      <c r="D24" s="4" t="inlineStr"/>
      <c r="E24" s="5" t="n">
        <v>5299</v>
      </c>
      <c r="F24" s="3" t="n"/>
      <c r="G24" s="2" t="n">
        <v>1</v>
      </c>
      <c r="H24" s="5">
        <f>E24*G24</f>
        <v/>
      </c>
      <c r="I24" s="3" t="inlineStr">
        <is>
          <t>原价缺失；店铺未识别</t>
        </is>
      </c>
    </row>
    <row r="25">
      <c r="A25" s="2" t="n">
        <v>24</v>
      </c>
      <c r="B25" s="3" t="inlineStr"/>
      <c r="C25" s="4" t="inlineStr">
        <is>
          <t>【官方直营】GPD Pocket3 迷你便携轻小掌上笔记本电脑二合一平板商务电脑8英寸轻薄指纹KVM触屏出差旅行</t>
        </is>
      </c>
      <c r="D25" s="4" t="inlineStr">
        <is>
          <t>冷吃牛肉【麻辣+香辣+五香】3大袋【超值装-96%用户选择】</t>
        </is>
      </c>
      <c r="E25" s="5" t="n">
        <v>129.2</v>
      </c>
      <c r="F25" s="5" t="n">
        <v>179.9</v>
      </c>
      <c r="G25" s="2" t="n">
        <v>1</v>
      </c>
      <c r="H25" s="5">
        <f>E25*G25</f>
        <v/>
      </c>
      <c r="I25" s="3" t="inlineStr">
        <is>
          <t>店铺未识别</t>
        </is>
      </c>
    </row>
    <row r="26">
      <c r="A26" s="2" t="n">
        <v>25</v>
      </c>
      <c r="B26" s="3" t="inlineStr">
        <is>
          <t>华为诚创专卖店</t>
        </is>
      </c>
      <c r="C26" s="4" t="inlineStr">
        <is>
          <t>旗舰款】华为鸿蒙智选5GCPE 5S移动路由器随身无线WiFi6插卡移动上网宝5G4G全网通千兆网口mesh组网户外正品</t>
        </is>
      </c>
      <c r="D26" s="4" t="inlineStr">
        <is>
          <t>395+128G内存</t>
        </is>
      </c>
      <c r="E26" s="5" t="n">
        <v>4999</v>
      </c>
      <c r="F26" s="3" t="n"/>
      <c r="G26" s="2" t="n">
        <v>1</v>
      </c>
      <c r="H26" s="5">
        <f>E26*G26</f>
        <v/>
      </c>
      <c r="I26" s="3" t="inlineStr">
        <is>
          <t>原价缺失</t>
        </is>
      </c>
    </row>
    <row r="27">
      <c r="A27" s="2" t="n">
        <v>26</v>
      </c>
      <c r="B27" s="3" t="inlineStr">
        <is>
          <t>臻尖茶叶旗舰店</t>
        </is>
      </c>
      <c r="C27" s="4" t="inlineStr">
        <is>
          <t>绿茶2026新茶明前高山云雾春茶特级毛尖茶叶自己喝正品官方旗舰店</t>
        </is>
      </c>
      <c r="D27" s="4" t="inlineStr">
        <is>
          <t>黑色【赠送跪垫】+体位垫：升级六肘撑/四轮健腹轮-分开两个快递发货</t>
        </is>
      </c>
      <c r="E27" s="5" t="n">
        <v>139.2</v>
      </c>
      <c r="F27" s="5" t="n">
        <v>189.9</v>
      </c>
      <c r="G27" s="2" t="n">
        <v>2</v>
      </c>
      <c r="H27" s="5">
        <f>E27*G27</f>
        <v/>
      </c>
      <c r="I27" s="3" t="inlineStr"/>
    </row>
    <row r="28">
      <c r="A28" s="2" t="n">
        <v>27</v>
      </c>
      <c r="B28" s="3" t="inlineStr">
        <is>
          <t>MINISFORUM旗舰店</t>
        </is>
      </c>
      <c r="C28" s="4" t="inlineStr">
        <is>
          <t>铭凡MINISFORUM X1 Pro-370旗舰AMD锐龙 AI9 HX 370高性能AI PC迷你主机台式机mini主机电脑游戏商务办公</t>
        </is>
      </c>
      <c r="D28" s="4" t="inlineStr">
        <is>
          <t>X1 Pro-370（锐龙AI 9 HX 370）</t>
        </is>
      </c>
      <c r="E28" s="5" t="n">
        <v>4488.3</v>
      </c>
      <c r="F28" s="5" t="n">
        <v>4939</v>
      </c>
      <c r="G28" s="2" t="n">
        <v>1</v>
      </c>
      <c r="H28" s="5">
        <f>E28*G28</f>
        <v/>
      </c>
      <c r="I28" s="3" t="inlineStr"/>
    </row>
    <row r="29">
      <c r="A29" s="2" t="n">
        <v>28</v>
      </c>
      <c r="B29" s="3" t="inlineStr">
        <is>
          <t>绿联明和盛专卖店</t>
        </is>
      </c>
      <c r="C29" s="4" t="inlineStr">
        <is>
          <t>绿联多口充电器手机充电插头ipad平板2.4a快充一拖四分4口旅行多功能充电头桌面带线充电器适用苹果安卓手机</t>
        </is>
      </c>
      <c r="D29" s="4" t="inlineStr">
        <is>
          <t>【34W带线款】四口同时充</t>
        </is>
      </c>
      <c r="E29" s="5" t="n">
        <v>73.3</v>
      </c>
      <c r="F29" s="5" t="n">
        <v>98.8</v>
      </c>
      <c r="G29" s="2" t="n">
        <v>1</v>
      </c>
      <c r="H29" s="5">
        <f>E29*G29</f>
        <v/>
      </c>
      <c r="I29" s="3" t="inlineStr"/>
    </row>
    <row r="30">
      <c r="A30" s="2" t="n">
        <v>29</v>
      </c>
      <c r="B30" s="3" t="inlineStr">
        <is>
          <t>创乐博旗舰店</t>
        </is>
      </c>
      <c r="C30" s="4" t="inlineStr">
        <is>
          <t>Jetson AGX Thor 官方原装开发板套件 AI智能 T5000模组 IGX thor</t>
        </is>
      </c>
      <c r="D30" s="4" t="inlineStr">
        <is>
          <t>Jetson AGX Thor开发者套件 + 4T固态(现货顺丰包邮)</t>
        </is>
      </c>
      <c r="E30" s="5" t="n">
        <v>46868.3</v>
      </c>
      <c r="F30" s="5" t="n">
        <v>66869</v>
      </c>
      <c r="G30" s="2" t="n">
        <v>1</v>
      </c>
      <c r="H30" s="5">
        <f>E30*G30</f>
        <v/>
      </c>
      <c r="I30" s="3" t="inlineStr"/>
    </row>
    <row r="31">
      <c r="A31" s="2" t="n">
        <v>30</v>
      </c>
      <c r="B31" s="3" t="inlineStr">
        <is>
          <t>正点原子旗舰店</t>
        </is>
      </c>
      <c r="C31" s="4" t="inlineStr">
        <is>
          <t>正点原子USB测试仪C2充电功率计电流电压表检测器快充协议PD诱骗</t>
        </is>
      </c>
      <c r="D31" s="4" t="inlineStr">
        <is>
          <t>USB测试仪C2 Pro-脉冲红（赠钢化膜1张）</t>
        </is>
      </c>
      <c r="E31" s="5" t="n">
        <v>193</v>
      </c>
      <c r="F31" s="5" t="n">
        <v>268</v>
      </c>
      <c r="G31" s="2" t="n">
        <v>1</v>
      </c>
      <c r="H31" s="5">
        <f>E31*G31</f>
        <v/>
      </c>
      <c r="I31" s="3" t="inlineStr"/>
    </row>
    <row r="32">
      <c r="A32" s="2" t="n">
        <v>31</v>
      </c>
      <c r="B32" s="3" t="inlineStr">
        <is>
          <t>tenga典雅旗舰店</t>
        </is>
      </c>
      <c r="C32" s="4" t="inlineStr">
        <is>
          <t>TENGA自动旋转飞机口软胶杯男用手动全日本自慰器成人用品龙骨</t>
        </is>
      </c>
      <c r="D32" s="4" t="inlineStr">
        <is>
          <t>【128 4TB】</t>
        </is>
      </c>
      <c r="E32" s="5" t="n">
        <v>140.3</v>
      </c>
      <c r="F32" s="5" t="n">
        <v>176</v>
      </c>
      <c r="G32" s="2" t="n">
        <v>1</v>
      </c>
      <c r="H32" s="5">
        <f>E32*G32</f>
        <v/>
      </c>
      <c r="I32" s="3" t="inlineStr"/>
    </row>
    <row r="33">
      <c r="A33" s="2" t="n">
        <v>32</v>
      </c>
      <c r="B33" s="3" t="inlineStr">
        <is>
          <t>MOREFINE电脑旗舰店</t>
        </is>
      </c>
      <c r="C33" s="4" t="inlineStr">
        <is>
          <t>MOREFINE摩方 12代酷睿i3-N305迷你主机八核双网口低功耗 Win11办公游戏mini小电脑N150准系统M9S 官方旗舰店</t>
        </is>
      </c>
      <c r="D33" s="4" t="inlineStr">
        <is>
          <t>HH_PM_L1(200nA~4A)</t>
        </is>
      </c>
      <c r="E33" s="5" t="n">
        <v>368.3</v>
      </c>
      <c r="F33" s="5" t="n">
        <v>369</v>
      </c>
      <c r="G33" s="2" t="n">
        <v>1</v>
      </c>
      <c r="H33" s="5">
        <f>E33*G33</f>
        <v/>
      </c>
      <c r="I33" s="3" t="inlineStr"/>
    </row>
    <row r="34">
      <c r="A34" s="2" t="n">
        <v>33</v>
      </c>
      <c r="B34" s="3" t="inlineStr">
        <is>
          <t>摩方电脑旗舰店</t>
        </is>
      </c>
      <c r="C34" s="4" t="inlineStr">
        <is>
          <t>MOREFINE摩方i7-13800H迷你主机全新13代ddr5办公13900HK家用S600编程minipc准系统双网口nvme4.官方旗舰店</t>
        </is>
      </c>
      <c r="D34" s="4" t="inlineStr"/>
      <c r="E34" s="5" t="n">
        <v>3000</v>
      </c>
      <c r="F34" s="3" t="n"/>
      <c r="G34" s="2" t="n">
        <v>1</v>
      </c>
      <c r="H34" s="5">
        <f>E34*G34</f>
        <v/>
      </c>
      <c r="I34" s="3" t="inlineStr">
        <is>
          <t>原价缺失</t>
        </is>
      </c>
    </row>
    <row r="35">
      <c r="A35" s="2" t="n">
        <v>34</v>
      </c>
      <c r="B35" s="3" t="inlineStr"/>
      <c r="C35" s="4" t="inlineStr">
        <is>
          <t>MOREFINE摩方M9S N305迷你主机双千兆网口低功耗轻办公家用软路由游戏4K微型mini小电脑官方旗舰店</t>
        </is>
      </c>
      <c r="D35" s="4" t="inlineStr"/>
      <c r="E35" s="5" t="n">
        <v>1459</v>
      </c>
      <c r="F35" s="3" t="n"/>
      <c r="G35" s="2" t="n">
        <v>1</v>
      </c>
      <c r="H35" s="5">
        <f>E35*G35</f>
        <v/>
      </c>
      <c r="I35" s="3" t="inlineStr">
        <is>
          <t>原价缺失；店铺未识别</t>
        </is>
      </c>
    </row>
    <row r="36">
      <c r="A36" s="2" t="n">
        <v>35</v>
      </c>
      <c r="B36" s="3" t="inlineStr"/>
      <c r="C36" s="4" t="inlineStr">
        <is>
          <t>MOREFINE/摩方i5-8257U全新12代N100迷你主机M8办公13家用N150游戏4K便携微型mini小电脑准系统M9官方旗舰店</t>
        </is>
      </c>
      <c r="D36" s="4" t="inlineStr">
        <is>
          <t>；准系统 M.2插槽N100 单DDR5内存</t>
        </is>
      </c>
      <c r="E36" s="5" t="n">
        <v>1128</v>
      </c>
      <c r="F36" s="3" t="n"/>
      <c r="G36" s="2" t="n">
        <v>1</v>
      </c>
      <c r="H36" s="5">
        <f>E36*G36</f>
        <v/>
      </c>
      <c r="I36" s="3" t="inlineStr">
        <is>
          <t>原价缺失；店铺未识别</t>
        </is>
      </c>
    </row>
    <row r="37">
      <c r="A37" s="2" t="n">
        <v>36</v>
      </c>
      <c r="B37" s="3" t="inlineStr">
        <is>
          <t>研凌旗舰店</t>
        </is>
      </c>
      <c r="C37" s="4" t="inlineStr">
        <is>
          <t>研凌N3322 12代嵌入式工控机工业级计算机迷你电脑主机i3-1215U/i5-1235U/ i7-1255U</t>
        </is>
      </c>
      <c r="D37" s="4" t="inlineStr">
        <is>
          <t>N3050开发版</t>
        </is>
      </c>
      <c r="E37" s="5" t="n">
        <v>2000</v>
      </c>
      <c r="F37" s="3" t="n"/>
      <c r="G37" s="2" t="n">
        <v>1</v>
      </c>
      <c r="H37" s="5">
        <f>E37*G37</f>
        <v/>
      </c>
      <c r="I37" s="3" t="inlineStr">
        <is>
          <t>原价缺失</t>
        </is>
      </c>
    </row>
    <row r="38">
      <c r="A38" s="2" t="n">
        <v>37</v>
      </c>
      <c r="B38" s="3" t="inlineStr">
        <is>
          <t>希右旗舰店</t>
        </is>
      </c>
      <c r="C38" s="4" t="inlineStr">
        <is>
          <t>桌面小型空气净化器除二手烟家用除甲醛异味办公室迷你负离子机</t>
        </is>
      </c>
      <c r="D38" s="4" t="inlineStr">
        <is>
          <t>【高配款】负离子净化☆双层复合滤芯☆送香片【4000毫安电池款】</t>
        </is>
      </c>
      <c r="E38" s="5" t="n">
        <v>76.09999999999999</v>
      </c>
      <c r="F38" s="5" t="n">
        <v>99</v>
      </c>
      <c r="G38" s="2" t="n">
        <v>1</v>
      </c>
      <c r="H38" s="5">
        <f>E38*G38</f>
        <v/>
      </c>
      <c r="I38" s="3" t="inlineStr"/>
    </row>
    <row r="39">
      <c r="A39" s="2" t="n">
        <v>38</v>
      </c>
      <c r="B39" s="3" t="inlineStr">
        <is>
          <t>ACEMAGIC阿迈奇旗舰店</t>
        </is>
      </c>
      <c r="C39" s="4" t="inlineStr">
        <is>
          <t>阿迈奇F5A HX470迷你主机AMD锐龙AI 9 高刷8K性能游戏办公设计小型电脑OpenClaw部署主机</t>
        </is>
      </c>
      <c r="D39" s="4" t="inlineStr">
        <is>
          <t>8645HS【ES】6核心 办公游戏</t>
        </is>
      </c>
      <c r="E39" s="5" t="n">
        <v>5999</v>
      </c>
      <c r="F39" s="3" t="n"/>
      <c r="G39" s="2" t="n">
        <v>1</v>
      </c>
      <c r="H39" s="5">
        <f>E39*G39</f>
        <v/>
      </c>
      <c r="I39" s="3" t="inlineStr">
        <is>
          <t>原价缺失</t>
        </is>
      </c>
    </row>
    <row r="40">
      <c r="A40" s="2" t="n">
        <v>39</v>
      </c>
      <c r="B40" s="3" t="inlineStr">
        <is>
          <t>topfeel旗舰店</t>
        </is>
      </c>
      <c r="C40" s="4" t="inlineStr">
        <is>
          <t>极夜/华擎 X600 8700g小主机迷你台式机电脑微型小型全铝虚拟机服务器 9600x/9700x/9800X3D【DeskMate】</t>
        </is>
      </c>
      <c r="D40" s="4" t="inlineStr"/>
      <c r="E40" s="5" t="n">
        <v>1399</v>
      </c>
      <c r="F40" s="3" t="n"/>
      <c r="G40" s="2" t="n">
        <v>1</v>
      </c>
      <c r="H40" s="5">
        <f>E40*G40</f>
        <v/>
      </c>
      <c r="I40" s="3" t="inlineStr">
        <is>
          <t>原价缺失</t>
        </is>
      </c>
    </row>
    <row r="41">
      <c r="A41" s="2" t="n">
        <v>40</v>
      </c>
      <c r="B41" s="3" t="inlineStr">
        <is>
          <t>品尚创想电脑专营店</t>
        </is>
      </c>
      <c r="C41" s="4" t="inlineStr">
        <is>
          <t>摩方13代N150四核迷你主机 win11办公N5095家用游戏4K双屏微型mini PC小电脑便携一线通 m6s</t>
        </is>
      </c>
      <c r="D41" s="4" t="inlineStr">
        <is>
          <t>TN屏电容触摸-耳朵版</t>
        </is>
      </c>
      <c r="E41" s="5" t="n">
        <v>1529</v>
      </c>
      <c r="F41" s="3" t="n"/>
      <c r="G41" s="2" t="n">
        <v>1</v>
      </c>
      <c r="H41" s="5">
        <f>E41*G41</f>
        <v/>
      </c>
      <c r="I41" s="3" t="inlineStr">
        <is>
          <t>原价缺失</t>
        </is>
      </c>
    </row>
    <row r="42">
      <c r="A42" s="2" t="n">
        <v>41</v>
      </c>
      <c r="B42" s="3" t="inlineStr">
        <is>
          <t>凌壹旗舰店</t>
        </is>
      </c>
      <c r="C42" s="4" t="inlineStr">
        <is>
          <t>凌壹12代N150迷你主机WIN11小主机NUC双网口低功耗N97准系统4K三屏NAS软路由N100微型电脑mini PC</t>
        </is>
      </c>
      <c r="D42" s="4" t="inlineStr">
        <is>
          <t>【准系统】（无内存无硬盘）</t>
        </is>
      </c>
      <c r="E42" s="5" t="n">
        <v>1698.3</v>
      </c>
      <c r="F42" s="5" t="n">
        <v>2869</v>
      </c>
      <c r="G42" s="2" t="n">
        <v>1</v>
      </c>
      <c r="H42" s="5">
        <f>E42*G42</f>
        <v/>
      </c>
      <c r="I42" s="3" t="inlineStr"/>
    </row>
    <row r="43">
      <c r="A43" s="2" t="n">
        <v>42</v>
      </c>
      <c r="B43" s="3" t="inlineStr">
        <is>
          <t>淘七</t>
        </is>
      </c>
      <c r="C43" s="4" t="inlineStr">
        <is>
          <t>英睿达笔记本内存条DDR5 5600 16G 24G 32G 48G 镁光游戏原厂原装</t>
        </is>
      </c>
      <c r="D43" s="4" t="inlineStr">
        <is>
          <t>D5 5600 32G*2【原厂套条】</t>
        </is>
      </c>
      <c r="E43" s="5" t="n">
        <v>6400</v>
      </c>
      <c r="F43" s="3" t="n"/>
      <c r="G43" s="2" t="n">
        <v>1</v>
      </c>
      <c r="H43" s="5">
        <f>E43*G43</f>
        <v/>
      </c>
      <c r="I43" s="3" t="inlineStr">
        <is>
          <t>原价缺失</t>
        </is>
      </c>
    </row>
    <row r="44">
      <c r="A44" s="2" t="n">
        <v>43</v>
      </c>
      <c r="B44" s="3" t="inlineStr">
        <is>
          <t>即将售罄</t>
        </is>
      </c>
      <c r="C44" s="4" t="inlineStr">
        <is>
          <t>英睿达美光DDR5 5600 8G 16G 32G 48G电脑游戏笔记本内存条</t>
        </is>
      </c>
      <c r="D44" s="4" t="inlineStr">
        <is>
          <t>48G DDR5 5600笔记本 原装正品</t>
        </is>
      </c>
      <c r="E44" s="5" t="n">
        <v>4099</v>
      </c>
      <c r="F44" s="3" t="n"/>
      <c r="G44" s="2" t="n">
        <v>1</v>
      </c>
      <c r="H44" s="5">
        <f>E44*G44</f>
        <v/>
      </c>
      <c r="I44" s="3" t="inlineStr">
        <is>
          <t>原价缺失</t>
        </is>
      </c>
    </row>
    <row r="45">
      <c r="A45" s="2" t="n">
        <v>44</v>
      </c>
      <c r="B45" s="3" t="inlineStr">
        <is>
          <t>汉印爱惠佳专卖店</t>
        </is>
      </c>
      <c r="C45" s="4" t="inlineStr">
        <is>
          <t>汉印MT610/688家用小型打印机手机蓝牙连接无线迷你便携学生作业A4黑白无墨热敏试卷错题整理拍照扫描学习机</t>
        </is>
      </c>
      <c r="D45" s="4" t="inlineStr">
        <is>
          <t>雷电5 直对立体弯</t>
        </is>
      </c>
      <c r="E45" s="5" t="n">
        <v>338</v>
      </c>
      <c r="F45" s="3" t="n"/>
      <c r="G45" s="2" t="n">
        <v>1</v>
      </c>
      <c r="H45" s="5">
        <f>E45*G45</f>
        <v/>
      </c>
      <c r="I45" s="3" t="inlineStr">
        <is>
          <t>原价缺失</t>
        </is>
      </c>
    </row>
    <row r="46">
      <c r="A46" s="2" t="n">
        <v>45</v>
      </c>
      <c r="B46" s="3" t="inlineStr">
        <is>
          <t>广翔达数码专营店</t>
        </is>
      </c>
      <c r="C46" s="4" t="inlineStr">
        <is>
          <t>DP公对公2.1版本双边L型弯头高清视频信号连接线DisplayPort高刷16K@30Hz 8K@240Hz显卡电脑主机显示器双弯头</t>
        </is>
      </c>
      <c r="D46" s="4" t="inlineStr">
        <is>
          <t>直头对右弯【2.1版】DP高清视频线</t>
        </is>
      </c>
      <c r="E46" s="5" t="n">
        <v>79</v>
      </c>
      <c r="F46" s="5" t="n">
        <v>93.8</v>
      </c>
      <c r="G46" s="2" t="n">
        <v>1</v>
      </c>
      <c r="H46" s="5">
        <f>E46*G46</f>
        <v/>
      </c>
      <c r="I46" s="3" t="inlineStr"/>
    </row>
    <row r="47">
      <c r="A47" s="2" t="n">
        <v>46</v>
      </c>
      <c r="B47" s="3" t="inlineStr">
        <is>
          <t>乐光深途专卖店</t>
        </is>
      </c>
      <c r="C47" s="4" t="inlineStr">
        <is>
          <t>乐光户外15/20/35公里无线网桥工业级一对大功率超远距离主干网络传输CPE抛物面天线5.8g千兆wifi室外点对点</t>
        </is>
      </c>
      <c r="D47" s="4" t="inlineStr">
        <is>
          <t>15公里（单只）</t>
        </is>
      </c>
      <c r="E47" s="5" t="n">
        <v>544</v>
      </c>
      <c r="F47" s="5" t="n">
        <v>699</v>
      </c>
      <c r="G47" s="2" t="n">
        <v>1</v>
      </c>
      <c r="H47" s="5">
        <f>E47*G47</f>
        <v/>
      </c>
      <c r="I47" s="3" t="inlineStr"/>
    </row>
    <row r="48">
      <c r="A48" s="2" t="n">
        <v>47</v>
      </c>
      <c r="B48" s="3" t="inlineStr">
        <is>
          <t>无线猫灵旗舰店</t>
        </is>
      </c>
      <c r="C48" s="4" t="inlineStr">
        <is>
          <t>移动4G无线路由器随身wifi免插卡多网通便携式笔记本台式电脑宽带企工业级办公全国通用高速流量商铺光纤网络</t>
        </is>
      </c>
      <c r="D48" s="4" t="inlineStr">
        <is>
          <t>官方标配</t>
        </is>
      </c>
      <c r="E48" s="5" t="n">
        <v>359</v>
      </c>
      <c r="F48" s="3" t="n"/>
      <c r="G48" s="2" t="n">
        <v>1</v>
      </c>
      <c r="H48" s="5">
        <f>E48*G48</f>
        <v/>
      </c>
      <c r="I48" s="3" t="inlineStr">
        <is>
          <t>原价缺失</t>
        </is>
      </c>
    </row>
    <row r="49">
      <c r="A49" s="2" t="n">
        <v>48</v>
      </c>
      <c r="B49" s="3" t="inlineStr">
        <is>
          <t>雷鸟智能眼镜旗舰店</t>
        </is>
      </c>
      <c r="C49" s="4" t="inlineStr">
        <is>
          <t>【双11全年巅峰价】雷鸟RayNeo Air 4 Pro智能AR眼镜头戴电视HDR10眼镜高清观影XR设备非vr ai眼镜</t>
        </is>
      </c>
      <c r="D49" s="4" t="inlineStr">
        <is>
          <t>J4105(8+128G)Win10</t>
        </is>
      </c>
      <c r="E49" s="5" t="n">
        <v>948.3</v>
      </c>
      <c r="F49" s="5" t="n">
        <v>969</v>
      </c>
      <c r="G49" s="2" t="n">
        <v>1</v>
      </c>
      <c r="H49" s="5">
        <f>E49*G49</f>
        <v/>
      </c>
      <c r="I49" s="3" t="inlineStr"/>
    </row>
    <row r="50">
      <c r="A50" s="2" t="n">
        <v>49</v>
      </c>
      <c r="B50" s="3" t="inlineStr">
        <is>
          <t>北京重新定位科技有限公司</t>
        </is>
      </c>
      <c r="C50" s="4" t="inlineStr">
        <is>
          <t>摄影玩家数码伴侣无线wifi移动硬盘盒手机电脑照片存储器一键备份</t>
        </is>
      </c>
      <c r="D50" s="4" t="inlineStr"/>
      <c r="E50" s="5" t="n">
        <v>398.3</v>
      </c>
      <c r="F50" s="5" t="n">
        <v>399</v>
      </c>
      <c r="G50" s="2" t="n">
        <v>1</v>
      </c>
      <c r="H50" s="5">
        <f>E50*G50</f>
        <v/>
      </c>
      <c r="I50" s="3" t="inlineStr"/>
    </row>
    <row r="51">
      <c r="A51" s="2" t="n">
        <v>50</v>
      </c>
      <c r="B51" s="3" t="inlineStr">
        <is>
          <t>即将售罄</t>
        </is>
      </c>
      <c r="C51" s="4" t="inlineStr">
        <is>
          <t>瑞芯微RK3588AI边缘计算盒子工业级AI算力盒子RK3576安卓迷你主机</t>
        </is>
      </c>
      <c r="D51" s="4" t="inlineStr">
        <is>
          <t>官方标配</t>
        </is>
      </c>
      <c r="E51" s="5" t="n">
        <v>2094.3</v>
      </c>
      <c r="F51" s="5" t="n">
        <v>2165</v>
      </c>
      <c r="G51" s="2" t="n">
        <v>1</v>
      </c>
      <c r="H51" s="5">
        <f>E51*G51</f>
        <v/>
      </c>
      <c r="I51" s="3" t="inlineStr"/>
    </row>
    <row r="52">
      <c r="A52" s="2" t="n">
        <v>51</v>
      </c>
      <c r="B52" s="3" t="inlineStr">
        <is>
          <t>西数官方旗舰店</t>
        </is>
      </c>
      <c r="C52" s="4" t="inlineStr">
        <is>
          <t>WD西部数据机械硬盘1t西数2t黑盘1tb游戏台式机电脑4t 6t 8t正品</t>
        </is>
      </c>
      <c r="D52" s="4" t="inlineStr"/>
      <c r="E52" s="5" t="n">
        <v>3399</v>
      </c>
      <c r="F52" s="3" t="n"/>
      <c r="G52" s="2" t="n">
        <v>1</v>
      </c>
      <c r="H52" s="5">
        <f>E52*G52</f>
        <v/>
      </c>
      <c r="I52" s="3" t="inlineStr">
        <is>
          <t>原价缺失</t>
        </is>
      </c>
    </row>
    <row r="53">
      <c r="A53" s="2" t="n">
        <v>52</v>
      </c>
      <c r="B53" s="3" t="inlineStr"/>
      <c r="C53" s="4" t="inlineStr">
        <is>
          <t>WD西部数据机械硬盘1t西数2t黑盘1tb游戏台式机电脑4t 6t 8t正品</t>
        </is>
      </c>
      <c r="D53" s="4" t="inlineStr"/>
      <c r="E53" s="5" t="n">
        <v>3399</v>
      </c>
      <c r="F53" s="3" t="n"/>
      <c r="G53" s="2" t="n">
        <v>1</v>
      </c>
      <c r="H53" s="5">
        <f>E53*G53</f>
        <v/>
      </c>
      <c r="I53" s="3" t="inlineStr">
        <is>
          <t>原价缺失；店铺未识别</t>
        </is>
      </c>
    </row>
    <row r="54">
      <c r="A54" s="2" t="n">
        <v>53</v>
      </c>
      <c r="B54" s="3" t="inlineStr">
        <is>
          <t>奥睿科上海专卖店</t>
        </is>
      </c>
      <c r="C54" s="4" t="inlineStr">
        <is>
          <t>ORICO/奥睿科type-c扩展坞M.2NVMe/SATA双协议硬盘盒USB3.2便携式拓展坞雷电3/4笔记本电脑macbookpro转换器</t>
        </is>
      </c>
      <c r="D54" s="4" t="inlineStr"/>
      <c r="E54" s="5" t="n">
        <v>516.47</v>
      </c>
      <c r="F54" s="3" t="n"/>
      <c r="G54" s="2" t="n">
        <v>1</v>
      </c>
      <c r="H54" s="5">
        <f>E54*G54</f>
        <v/>
      </c>
      <c r="I54" s="3" t="inlineStr">
        <is>
          <t>原价缺失</t>
        </is>
      </c>
    </row>
    <row r="55">
      <c r="A55" s="2" t="n">
        <v>54</v>
      </c>
      <c r="B55" s="3" t="inlineStr"/>
      <c r="C55" s="4" t="inlineStr">
        <is>
          <t>ORICO/奥睿科type-c扩展坞M.2NVMe/SATA双协议硬盘盒USB3.2便携式拓展坞雷电3/4笔记本电脑macbookpro转换器</t>
        </is>
      </c>
      <c r="D55" s="4" t="inlineStr"/>
      <c r="E55" s="5" t="n">
        <v>516.47</v>
      </c>
      <c r="F55" s="3" t="n"/>
      <c r="G55" s="2" t="n">
        <v>1</v>
      </c>
      <c r="H55" s="5">
        <f>E55*G55</f>
        <v/>
      </c>
      <c r="I55" s="3" t="inlineStr">
        <is>
          <t>原价缺失；店铺未识别</t>
        </is>
      </c>
    </row>
    <row r="56">
      <c r="A56" s="2" t="n">
        <v>55</v>
      </c>
      <c r="B56" s="3" t="inlineStr">
        <is>
          <t>绿联数码旗舰店</t>
        </is>
      </c>
      <c r="C56" s="4" t="inlineStr">
        <is>
          <t>绿联m.2固态硬盘盒子nvme/sata双协议m2移动硬盘笔记本ssd外接盒</t>
        </is>
      </c>
      <c r="D56" s="4" t="inlineStr"/>
      <c r="E56" s="5" t="n">
        <v>99.90000000000001</v>
      </c>
      <c r="F56" s="3" t="n"/>
      <c r="G56" s="2" t="n">
        <v>1</v>
      </c>
      <c r="H56" s="5">
        <f>E56*G56</f>
        <v/>
      </c>
      <c r="I56" s="3" t="inlineStr">
        <is>
          <t>原价缺失</t>
        </is>
      </c>
    </row>
    <row r="57">
      <c r="A57" s="2" t="n">
        <v>56</v>
      </c>
      <c r="B57" s="3" t="inlineStr">
        <is>
          <t>大人糖官方旗舰店</t>
        </is>
      </c>
      <c r="C57" s="4" t="inlineStr">
        <is>
          <t>大人糖小海豹跳蛋自慰器情趣性用品女性专用成人玩具高潮震动海豚</t>
        </is>
      </c>
      <c r="D57" s="4" t="inlineStr">
        <is>
          <t>AP</t>
        </is>
      </c>
      <c r="E57" s="5" t="n">
        <v>343</v>
      </c>
      <c r="F57" s="5" t="n">
        <v>439</v>
      </c>
      <c r="G57" s="2" t="n">
        <v>1</v>
      </c>
      <c r="H57" s="5">
        <f>E57*G57</f>
        <v/>
      </c>
      <c r="I57" s="3" t="inlineStr"/>
    </row>
    <row r="58">
      <c r="A58" s="2" t="n">
        <v>57</v>
      </c>
      <c r="B58" s="3" t="inlineStr">
        <is>
          <t>nve旗舰店</t>
        </is>
      </c>
      <c r="C58" s="4" t="inlineStr">
        <is>
          <t>笔记本清灰气吹电脑吹尘球风扇键盘清洁除尘强力皮吹洗耳球皮老虎</t>
        </is>
      </c>
      <c r="D58" s="4" t="inlineStr">
        <is>
          <t>【长嘴气吹】★单个装★无伤清灰</t>
        </is>
      </c>
      <c r="E58" s="5" t="n">
        <v>8.800000000000001</v>
      </c>
      <c r="F58" s="3" t="n"/>
      <c r="G58" s="2" t="n">
        <v>1</v>
      </c>
      <c r="H58" s="5">
        <f>E58*G58</f>
        <v/>
      </c>
      <c r="I58" s="3" t="inlineStr">
        <is>
          <t>原价缺失</t>
        </is>
      </c>
    </row>
    <row r="59">
      <c r="A59" s="2" t="n">
        <v>58</v>
      </c>
      <c r="B59" s="3" t="inlineStr">
        <is>
          <t>小米官方旗舰店</t>
        </is>
      </c>
      <c r="C59" s="4" t="inlineStr">
        <is>
          <t>小米官旗米家空气净化器4lite家用除甲醛抗菌吸烟宠物小型净化机</t>
        </is>
      </c>
      <c r="D59" s="4" t="inlineStr"/>
      <c r="E59" s="5" t="n">
        <v>899</v>
      </c>
      <c r="F59" s="3" t="n"/>
      <c r="G59" s="2" t="n">
        <v>1</v>
      </c>
      <c r="H59" s="5">
        <f>E59*G59</f>
        <v/>
      </c>
      <c r="I59" s="3" t="inlineStr">
        <is>
          <t>原价缺失</t>
        </is>
      </c>
    </row>
    <row r="60">
      <c r="A60" s="2" t="n">
        <v>59</v>
      </c>
      <c r="B60" s="3" t="inlineStr">
        <is>
          <t>绿巨能旗舰店</t>
        </is>
      </c>
      <c r="C60" s="4" t="inlineStr">
        <is>
          <t>绿巨能V12/V12Ultra压风式散热器笔记本电脑智控风压式散热底座降温风扇游戏本支架防尘涡轮压风静音降噪V16</t>
        </is>
      </c>
      <c r="D60" s="4" t="inlineStr">
        <is>
          <t>S800-8TB【2G独立缓存+7300M/s 】</t>
        </is>
      </c>
      <c r="E60" s="5" t="n">
        <v>999</v>
      </c>
      <c r="F60" s="3" t="n"/>
      <c r="G60" s="2" t="n">
        <v>1</v>
      </c>
      <c r="H60" s="5">
        <f>E60*G60</f>
        <v/>
      </c>
      <c r="I60" s="3" t="inlineStr">
        <is>
          <t>原价缺失</t>
        </is>
      </c>
    </row>
    <row r="61">
      <c r="A61" s="2" t="n">
        <v>60</v>
      </c>
      <c r="B61" s="3" t="inlineStr">
        <is>
          <t>gskill芝奇旗舰店</t>
        </is>
      </c>
      <c r="C61" s="4" t="inlineStr">
        <is>
          <t>芝奇DDR5皇家戟系列灯条6400 7200 7600台式机内存条16g/24g套装</t>
        </is>
      </c>
      <c r="D61" s="4" t="inlineStr"/>
      <c r="E61" s="5" t="n">
        <v>6999</v>
      </c>
      <c r="F61" s="3" t="n"/>
      <c r="G61" s="2" t="n">
        <v>1</v>
      </c>
      <c r="H61" s="5">
        <f>E61*G61</f>
        <v/>
      </c>
      <c r="I61" s="3" t="inlineStr">
        <is>
          <t>原价缺失</t>
        </is>
      </c>
    </row>
    <row r="62">
      <c r="A62" s="2" t="n">
        <v>61</v>
      </c>
      <c r="B62" s="3" t="inlineStr">
        <is>
          <t>WD西部数据康正信达专卖店</t>
        </is>
      </c>
      <c r="C62" s="4" t="inlineStr">
        <is>
          <t>WD西部数据SN3000/SN5100固态硬盘1T 2T 500G笔记本SSD台式电脑m2</t>
        </is>
      </c>
      <c r="D62" s="4" t="inlineStr"/>
      <c r="E62" s="5" t="n">
        <v>2000</v>
      </c>
      <c r="F62" s="3" t="n"/>
      <c r="G62" s="2" t="n">
        <v>1</v>
      </c>
      <c r="H62" s="5">
        <f>E62*G62</f>
        <v/>
      </c>
      <c r="I62" s="3" t="inlineStr">
        <is>
          <t>原价缺失</t>
        </is>
      </c>
    </row>
    <row r="63">
      <c r="A63" s="2" t="n">
        <v>62</v>
      </c>
      <c r="B63" s="3" t="inlineStr">
        <is>
          <t>AMD旗舰店</t>
        </is>
      </c>
      <c r="C63" s="4" t="inlineStr">
        <is>
          <t>AMD锐龙9 9950X3D处理器16核32线程144MB缓存频率至高5.7GhzCPU</t>
        </is>
      </c>
      <c r="D63" s="4" t="inlineStr"/>
      <c r="E63" s="5" t="n">
        <v>8999</v>
      </c>
      <c r="F63" s="3" t="n"/>
      <c r="G63" s="2" t="n">
        <v>1</v>
      </c>
      <c r="H63" s="5">
        <f>E63*G63</f>
        <v/>
      </c>
      <c r="I63" s="3" t="inlineStr">
        <is>
          <t>原价缺失</t>
        </is>
      </c>
    </row>
    <row r="64">
      <c r="A64" s="2" t="n">
        <v>63</v>
      </c>
      <c r="B64" s="3" t="inlineStr">
        <is>
          <t>ASUS华硕旗舰店</t>
        </is>
      </c>
      <c r="C64" s="4" t="inlineStr">
        <is>
          <t>Asus/华硕TUF GAMING X870-PLUS WIFI台式电脑电竞游戏主板旗舰店</t>
        </is>
      </c>
      <c r="D64" s="4" t="inlineStr"/>
      <c r="E64" s="5" t="n">
        <v>9999</v>
      </c>
      <c r="F64" s="3" t="n"/>
      <c r="G64" s="2" t="n">
        <v>1</v>
      </c>
      <c r="H64" s="5">
        <f>E64*G64</f>
        <v/>
      </c>
      <c r="I64" s="3" t="inlineStr">
        <is>
          <t>原价缺失</t>
        </is>
      </c>
    </row>
    <row r="65">
      <c r="A65" s="6" t="inlineStr">
        <is>
          <t>合计</t>
        </is>
      </c>
      <c r="B65" s="7" t="n"/>
      <c r="C65" s="7" t="n"/>
      <c r="D65" s="7" t="n"/>
      <c r="E65" s="7" t="n"/>
      <c r="F65" s="7" t="n"/>
      <c r="G65" s="6">
        <f>SUM(G2:G64)</f>
        <v/>
      </c>
      <c r="H65" s="8">
        <f>SUM(H2:H64)</f>
        <v/>
      </c>
      <c r="I65" s="7" t="n"/>
    </row>
  </sheetData>
  <autoFilter ref="A1:I6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6" customWidth="1" min="1" max="1"/>
    <col width="110" customWidth="1" min="2" max="2"/>
  </cols>
  <sheetData>
    <row r="1">
      <c r="A1" s="9" t="inlineStr">
        <is>
          <t>数据来源</t>
        </is>
      </c>
      <c r="B1" s="10" t="inlineStr">
        <is>
          <t>Edge 浏览器已登录会话中的 https://cart.taobao.com/cart.htm（账号 tb455443353821），2026-10-21 14:40–15:30 CST</t>
        </is>
      </c>
    </row>
    <row r="2">
      <c r="A2" s="9" t="inlineStr">
        <is>
          <t>采集方式</t>
        </is>
      </c>
      <c r="B2" s="10" t="inlineStr">
        <is>
          <t>纯 GUI 驱动：Ctrl+A/Ctrl+C 取页面渲染文本（滚动懒加载逐轮累积）+ 12 张 50% 缩放截图做视觉交叉核对；未用接口抓包、未用 DevTools 协议</t>
        </is>
      </c>
    </row>
    <row r="3">
      <c r="A3" s="9" t="inlineStr">
        <is>
          <t>行数</t>
        </is>
      </c>
      <c r="B3" s="10" t="inlineStr">
        <is>
          <t>63 行（页面文本中的购物车条目；同一商品不同 SKU 视为多行，未去重）</t>
        </is>
      </c>
    </row>
    <row r="4">
      <c r="A4" s="9" t="inlineStr">
        <is>
          <t>金额</t>
        </is>
      </c>
      <c r="B4" s="10" t="inlineStr">
        <is>
          <t>本表单价×数量合计 ¥202,348.60；数量合计 69 件</t>
        </is>
      </c>
    </row>
    <row r="5">
      <c r="A5" s="9" t="inlineStr">
        <is>
          <t>对账差异（重要）</t>
        </is>
      </c>
      <c r="B5" s="10" t="inlineStr">
        <is>
          <t>页面全选后显示「领券结算(50)」合计 ¥264,972.18，与购物车角标「138」、页面文本 62 个条目均不一致。可能原因：角标统计件数而非条目数；部分条目不可结算；页面存在隐藏/失效条目。本表不做推测性修正，差异如实登记</t>
        </is>
      </c>
    </row>
    <row r="6">
      <c r="A6" s="9" t="inlineStr">
        <is>
          <t>单价可信度</t>
        </is>
      </c>
      <c r="B6" s="10" t="inlineStr">
        <is>
          <t>抽查 6/6 行与截图一致（¥37.3/¥37190/¥8080/¥3898.3/¥5.51/¥30.11）</t>
        </is>
      </c>
    </row>
    <row r="7">
      <c r="A7" s="9" t="inlineStr">
        <is>
          <t>原价可信度</t>
        </is>
      </c>
      <c r="B7" s="10" t="inlineStr">
        <is>
          <t>中。部分行原价被「距加入降」金额干扰（如 Lexar 原价 ¥6999 已修正，其余标记「原价缺失」）</t>
        </is>
      </c>
    </row>
    <row r="8">
      <c r="A8" s="9" t="inlineStr">
        <is>
          <t>数量可信度</t>
        </is>
      </c>
      <c r="B8" s="10" t="inlineStr">
        <is>
          <t>中高。抽查发现 1 处不一致（鹿小班 INMP441 文本层为 1，截图显示 2）</t>
        </is>
      </c>
    </row>
    <row r="9">
      <c r="A9" s="9" t="inlineStr">
        <is>
          <t>为什么没有状态列</t>
        </is>
      </c>
      <c r="B9" s="10" t="inlineStr">
        <is>
          <t>页面文本中「重新选择规格」「宝贝已不能购买」等字样在每一行模板里都存在（CSS 隐藏），无法用文本区分真实状态；可靠判定需要逐行视觉识别。截图中确认不可购买的条目已在下方列出，供人工复核</t>
        </is>
      </c>
    </row>
    <row r="10">
      <c r="A10" s="9" t="inlineStr">
        <is>
          <t>视觉确认不可结算的条目</t>
        </is>
      </c>
      <c r="B10" s="10" t="inlineStr">
        <is>
          <t>宏碁掠夺者 GM9000【8TB】、iBook Pocket5、GPD Pocket3（多行）、ZWIDE N8 之外的若干「宝贝已不能购买」行：悦享 ¥159.9、绿联 2025 新款、NORGE 5C 800-1600W ¥649、Apple Mac Studio 16 核 ¥7899、ITECH 电池测试仪 ¥8200、FEVM FA-X1、阿迈奇 F5A 等（以截图 s01–s12 为准）</t>
        </is>
      </c>
    </row>
    <row r="11">
      <c r="A11" s="9" t="inlineStr">
        <is>
          <t>列说明</t>
        </is>
      </c>
      <c r="B11" s="10" t="inlineStr">
        <is>
          <t>单价=页面「平台加补后」价；小计=单价×数量；规格列来自页面 SKU 文本，缺失者为空</t>
        </is>
      </c>
    </row>
    <row r="12">
      <c r="A12" s="9" t="inlineStr">
        <is>
          <t>生成方式</t>
        </is>
      </c>
      <c r="B12" s="10" t="inlineStr">
        <is>
          <t>missions/taobao-cart-2026-10-21/build-xlsx.py（openpyxl），输入 parsed-v3.json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2026-10-21T06:47:55Z</dcterms:created>
  <dcterms:modified xmlns:dcterms="http://purl.org/dc/terms/" xmlns:xsi="http://www.w3.org/2001/XMLSchema-instance" xsi:type="dcterms:W3CDTF">2026-10-21T06:47:55Z</dcterms:modified>
</cp:coreProperties>
</file>